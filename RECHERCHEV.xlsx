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272b50bc787c/Documents/Formation365/"/>
    </mc:Choice>
  </mc:AlternateContent>
  <xr:revisionPtr revIDLastSave="0" documentId="8_{2531EC6E-B2BE-4143-A003-78657FE91F15}" xr6:coauthVersionLast="47" xr6:coauthVersionMax="47" xr10:uidLastSave="{00000000-0000-0000-0000-000000000000}"/>
  <bookViews>
    <workbookView xWindow="-108" yWindow="-108" windowWidth="23256" windowHeight="12456" xr2:uid="{A5CBF5C9-B0EF-4C26-840D-B7C3FA50DA9F}"/>
  </bookViews>
  <sheets>
    <sheet name="Table1" sheetId="1" r:id="rId1"/>
    <sheet name="Tab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2" i="1"/>
  <c r="E3" i="1"/>
  <c r="E4" i="1"/>
  <c r="E5" i="1"/>
  <c r="E10" i="1"/>
  <c r="E12" i="1"/>
  <c r="E13" i="1"/>
</calcChain>
</file>

<file path=xl/sharedStrings.xml><?xml version="1.0" encoding="utf-8"?>
<sst xmlns="http://schemas.openxmlformats.org/spreadsheetml/2006/main" count="43" uniqueCount="22">
  <si>
    <t>Nom</t>
  </si>
  <si>
    <t>Métier</t>
  </si>
  <si>
    <t>Age</t>
  </si>
  <si>
    <t>Christian</t>
  </si>
  <si>
    <t>Boulanger</t>
  </si>
  <si>
    <t>Jean</t>
  </si>
  <si>
    <t>Maçon</t>
  </si>
  <si>
    <t>Paul</t>
  </si>
  <si>
    <t>Informaticien</t>
  </si>
  <si>
    <t>Christelle</t>
  </si>
  <si>
    <t>Banquière</t>
  </si>
  <si>
    <t>Metier</t>
  </si>
  <si>
    <t>Salaire</t>
  </si>
  <si>
    <t>Colonne1</t>
  </si>
  <si>
    <t>Nombre d'enfants moyens</t>
  </si>
  <si>
    <t>Nombre d'enfants</t>
  </si>
  <si>
    <t>Colonne2</t>
  </si>
  <si>
    <t>Prénom</t>
  </si>
  <si>
    <t>MOP</t>
  </si>
  <si>
    <t>POP</t>
  </si>
  <si>
    <t>LOP</t>
  </si>
  <si>
    <t>KOP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</si>
</sst>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BDFD0-1E2F-4A2D-9391-5310CCAC31B9}" name="Tableau1" displayName="Tableau1" ref="A1:E5" totalsRowShown="0">
  <autoFilter ref="A1:E5" xr:uid="{6A2BDFD0-1E2F-4A2D-9391-5310CCAC31B9}"/>
  <tableColumns count="5">
    <tableColumn id="1" xr3:uid="{C81DDC70-CC65-4EFC-89D6-B5385E3E33CA}" name="Nom"/>
    <tableColumn id="5" xr3:uid="{1F5C07C0-C4B5-4A1F-9256-CEB464D1DABC}" name="Prénom"/>
    <tableColumn id="2" xr3:uid="{65E6C94B-536D-4D2B-A2E5-A0D698F7D30D}" name="Métier"/>
    <tableColumn id="3" xr3:uid="{EE8DDACE-B031-49C6-8D27-B810B90C6239}" name="Age"/>
    <tableColumn id="4" xr3:uid="{87DA035B-BA18-4BFB-B937-BF12600F40DA}" name="Salaire" dataDxfId="0">
      <calculatedColumnFormula>IFERROR(VLOOKUP(C2,G:K,2,), "Non trouvé")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ED514-12BA-4061-A9CD-611BA4C00BCB}" name="Tableau2" displayName="Tableau2" ref="G1:K5" totalsRowShown="0">
  <autoFilter ref="G1:K5" xr:uid="{C93ED514-12BA-4061-A9CD-611BA4C00BCB}"/>
  <tableColumns count="5">
    <tableColumn id="1" xr3:uid="{28965BBF-A0CE-4574-8E32-55E0744A2BA6}" name="Metier"/>
    <tableColumn id="4" xr3:uid="{C5A1A939-DBC7-4B65-85D3-3AEA7FB4B35C}" name="Colonne1"/>
    <tableColumn id="5" xr3:uid="{9D0C3D01-09F3-48CC-816E-D8146EF6FC1D}" name="Colonne2"/>
    <tableColumn id="3" xr3:uid="{C7084159-B214-4829-B2B6-136BEF1A31FD}" name="Nombre d'enfants moyens"/>
    <tableColumn id="2" xr3:uid="{FFFC8AE0-D87E-4217-899C-C02FA291922A}" name="Sal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26A6-80FC-4D76-A9E1-B2CF27051DBF}">
  <dimension ref="A1:K13"/>
  <sheetViews>
    <sheetView tabSelected="1" topLeftCell="E1" zoomScale="200" zoomScaleNormal="200" workbookViewId="0">
      <selection activeCell="E2" sqref="E2"/>
    </sheetView>
  </sheetViews>
  <sheetFormatPr baseColWidth="10" defaultRowHeight="14.4" x14ac:dyDescent="0.3"/>
  <cols>
    <col min="7" max="10" width="17" customWidth="1"/>
    <col min="11" max="11" width="18.109375" customWidth="1"/>
  </cols>
  <sheetData>
    <row r="1" spans="1:11" x14ac:dyDescent="0.3">
      <c r="A1" t="s">
        <v>0</v>
      </c>
      <c r="B1" t="s">
        <v>17</v>
      </c>
      <c r="C1" t="s">
        <v>1</v>
      </c>
      <c r="D1" t="s">
        <v>2</v>
      </c>
      <c r="E1" t="s">
        <v>12</v>
      </c>
      <c r="G1" t="s">
        <v>11</v>
      </c>
      <c r="H1" t="s">
        <v>13</v>
      </c>
      <c r="I1" t="s">
        <v>16</v>
      </c>
      <c r="J1" t="s">
        <v>14</v>
      </c>
      <c r="K1" t="s">
        <v>12</v>
      </c>
    </row>
    <row r="2" spans="1:11" x14ac:dyDescent="0.3">
      <c r="A2" t="s">
        <v>3</v>
      </c>
      <c r="B2" t="s">
        <v>18</v>
      </c>
      <c r="C2" t="s">
        <v>4</v>
      </c>
      <c r="D2">
        <v>35</v>
      </c>
      <c r="E2">
        <f t="shared" ref="E2:E5" si="0">IFERROR(VLOOKUP(C2,G:K,2,), "Non trouvé")</f>
        <v>0</v>
      </c>
      <c r="G2" t="s">
        <v>4</v>
      </c>
      <c r="J2">
        <v>2</v>
      </c>
      <c r="K2">
        <v>3000</v>
      </c>
    </row>
    <row r="3" spans="1:11" x14ac:dyDescent="0.3">
      <c r="A3" t="s">
        <v>5</v>
      </c>
      <c r="B3" t="s">
        <v>19</v>
      </c>
      <c r="C3" t="s">
        <v>6</v>
      </c>
      <c r="D3">
        <v>21</v>
      </c>
      <c r="E3" t="str">
        <f t="shared" si="0"/>
        <v>Non trouvé</v>
      </c>
      <c r="G3" t="s">
        <v>8</v>
      </c>
      <c r="J3">
        <v>3</v>
      </c>
      <c r="K3">
        <v>2600</v>
      </c>
    </row>
    <row r="4" spans="1:11" x14ac:dyDescent="0.3">
      <c r="A4" t="s">
        <v>7</v>
      </c>
      <c r="B4" t="s">
        <v>20</v>
      </c>
      <c r="C4" t="s">
        <v>8</v>
      </c>
      <c r="D4">
        <v>29</v>
      </c>
      <c r="E4">
        <f t="shared" si="0"/>
        <v>0</v>
      </c>
      <c r="G4" t="s">
        <v>10</v>
      </c>
      <c r="J4">
        <v>5</v>
      </c>
      <c r="K4">
        <v>6000</v>
      </c>
    </row>
    <row r="5" spans="1:11" x14ac:dyDescent="0.3">
      <c r="A5" t="s">
        <v>9</v>
      </c>
      <c r="B5" t="s">
        <v>21</v>
      </c>
      <c r="C5" t="s">
        <v>10</v>
      </c>
      <c r="D5">
        <v>45</v>
      </c>
      <c r="E5">
        <f t="shared" si="0"/>
        <v>0</v>
      </c>
    </row>
    <row r="9" spans="1:11" x14ac:dyDescent="0.3">
      <c r="A9" s="4" t="s">
        <v>0</v>
      </c>
      <c r="B9" s="5"/>
      <c r="C9" s="5" t="s">
        <v>1</v>
      </c>
      <c r="D9" s="5" t="s">
        <v>2</v>
      </c>
      <c r="E9" s="10" t="s">
        <v>12</v>
      </c>
      <c r="G9" s="4" t="s">
        <v>11</v>
      </c>
      <c r="H9" s="5" t="s">
        <v>15</v>
      </c>
      <c r="I9" s="5"/>
      <c r="J9" s="6" t="s">
        <v>12</v>
      </c>
    </row>
    <row r="10" spans="1:11" x14ac:dyDescent="0.3">
      <c r="A10" s="7" t="s">
        <v>3</v>
      </c>
      <c r="B10" s="8"/>
      <c r="C10" s="8" t="s">
        <v>4</v>
      </c>
      <c r="D10" s="8">
        <v>35</v>
      </c>
      <c r="E10">
        <f>_xlfn.XLOOKUP(C10,G$10:G$12,J$10:J$12,"Non trouvé")</f>
        <v>3000</v>
      </c>
      <c r="G10" s="7" t="s">
        <v>4</v>
      </c>
      <c r="H10" s="8">
        <v>1</v>
      </c>
      <c r="I10" s="8"/>
      <c r="J10" s="9">
        <v>3000</v>
      </c>
    </row>
    <row r="11" spans="1:11" x14ac:dyDescent="0.3">
      <c r="A11" s="1" t="s">
        <v>5</v>
      </c>
      <c r="B11" s="2"/>
      <c r="C11" s="2" t="s">
        <v>6</v>
      </c>
      <c r="D11" s="2">
        <v>21</v>
      </c>
      <c r="E11" t="str">
        <f>_xlfn.XLOOKUP(C11,G$10:G$12,J$10:J$12,"Non trouvé")</f>
        <v>Non trouvé</v>
      </c>
      <c r="G11" s="1" t="s">
        <v>8</v>
      </c>
      <c r="H11" s="2">
        <v>2</v>
      </c>
      <c r="I11" s="2"/>
      <c r="J11" s="3">
        <v>2600</v>
      </c>
    </row>
    <row r="12" spans="1:11" x14ac:dyDescent="0.3">
      <c r="A12" s="7" t="s">
        <v>7</v>
      </c>
      <c r="B12" s="8"/>
      <c r="C12" s="8" t="s">
        <v>8</v>
      </c>
      <c r="D12" s="8">
        <v>29</v>
      </c>
      <c r="E12">
        <f t="shared" ref="E12:E13" si="1">_xlfn.XLOOKUP(C12,G$10:G$12,J$10:J$12,"Non trouvé")</f>
        <v>2600</v>
      </c>
      <c r="G12" s="7" t="s">
        <v>10</v>
      </c>
      <c r="H12" s="8">
        <v>3</v>
      </c>
      <c r="I12" s="8"/>
      <c r="J12" s="9">
        <v>6000</v>
      </c>
    </row>
    <row r="13" spans="1:11" x14ac:dyDescent="0.3">
      <c r="A13" s="1" t="s">
        <v>9</v>
      </c>
      <c r="B13" s="2"/>
      <c r="C13" s="2" t="s">
        <v>10</v>
      </c>
      <c r="D13" s="2">
        <v>45</v>
      </c>
      <c r="E13">
        <f t="shared" si="1"/>
        <v>6000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160D-3C94-404A-96CA-EDCDB265A59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Ilyass Msellek</dc:creator>
  <cp:lastModifiedBy>Ilyass Msellek</cp:lastModifiedBy>
  <dcterms:created xsi:type="dcterms:W3CDTF">2026-01-20T15:22:35Z</dcterms:created>
  <dcterms:modified xsi:type="dcterms:W3CDTF">2026-01-20T16:36:20Z</dcterms:modified>
</cp:coreProperties>
</file>